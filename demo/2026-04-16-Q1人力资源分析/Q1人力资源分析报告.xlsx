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人员结构概况" sheetId="2" state="visible" r:id="rId2"/>
    <sheet xmlns:r="http://schemas.openxmlformats.org/officeDocument/2006/relationships" name="考勤异常分析" sheetId="3" state="visible" r:id="rId3"/>
    <sheet xmlns:r="http://schemas.openxmlformats.org/officeDocument/2006/relationships" name="薪酬分布" sheetId="4" state="visible" r:id="rId4"/>
    <sheet xmlns:r="http://schemas.openxmlformats.org/officeDocument/2006/relationships" name="绩效分析" sheetId="5" state="visible" r:id="rId5"/>
    <sheet xmlns:r="http://schemas.openxmlformats.org/officeDocument/2006/relationships" name="培训投入产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2F5496"/>
      <sz val="18"/>
    </font>
    <font>
      <name val="微软雅黑"/>
      <color rgb="00999999"/>
      <sz val="10"/>
    </font>
    <font>
      <name val="微软雅黑"/>
      <color rgb="00666666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165" fontId="6" fillId="0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各部门人数分布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'人员结构概况'!B4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'人员结构概况'!$A$5:$A$12</f>
            </numRef>
          </cat>
          <val>
            <numRef>
              <f>'人员结构概况'!$B$5:$B$12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学历分布</a:t>
            </a:r>
          </a:p>
        </rich>
      </tx>
    </title>
    <plotArea>
      <pieChart>
        <varyColors val="1"/>
        <ser>
          <idx val="0"/>
          <order val="0"/>
          <tx>
            <strRef>
              <f>'人员结构概况'!B16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'人员结构概况'!$A$17:$A$20</f>
            </numRef>
          </cat>
          <val>
            <numRef>
              <f>'人员结构概况'!$B$17:$B$20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在职状态分布</a:t>
            </a:r>
          </a:p>
        </rich>
      </tx>
    </title>
    <plotArea>
      <pieChart>
        <varyColors val="1"/>
        <ser>
          <idx val="0"/>
          <order val="0"/>
          <tx>
            <strRef>
              <f>'人员结构概况'!B24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'人员结构概况'!$A$25:$A$27</f>
            </numRef>
          </cat>
          <val>
            <numRef>
              <f>'人员结构概况'!$B$25:$B$27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各部门迟到/早退次数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'考勤异常分析'!C4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'考勤异常分析'!$A$5:$A$12</f>
            </numRef>
          </cat>
          <val>
            <numRef>
              <f>'考勤异常分析'!$C$5:$C$12</f>
            </numRef>
          </val>
        </ser>
        <ser>
          <idx val="1"/>
          <order val="1"/>
          <tx>
            <strRef>
              <f>'考勤异常分析'!D4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'考勤异常分析'!$A$5:$A$12</f>
            </numRef>
          </cat>
          <val>
            <numRef>
              <f>'考勤异常分析'!$D$5:$D$12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各部门平均实发工资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'薪酬分布'!C4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'薪酬分布'!$A$5:$A$12</f>
            </numRef>
          </cat>
          <val>
            <numRef>
              <f>'薪酬分布'!$C$5:$C$12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薪资区间分布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'薪酬分布'!B16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'薪酬分布'!$A$17:$A$21</f>
            </numRef>
          </cat>
          <val>
            <numRef>
              <f>'薪酬分布'!$B$17:$B$21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绩效等级分布</a:t>
            </a:r>
          </a:p>
        </rich>
      </tx>
    </title>
    <plotArea>
      <pieChart>
        <varyColors val="1"/>
        <ser>
          <idx val="0"/>
          <order val="0"/>
          <tx>
            <strRef>
              <f>'绩效分析'!B4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'绩效分析'!$A$5:$A$9</f>
            </numRef>
          </cat>
          <val>
            <numRef>
              <f>'绩效分析'!$B$5:$B$9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各部门平均绩效得分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'绩效分析'!C13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'绩效分析'!$A$14:$A$21</f>
            </numRef>
          </cat>
          <val>
            <numRef>
              <f>'绩效分析'!$C$14:$C$21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5"/>
          <min val="7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各绩效等级平均薪资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'绩效分析'!C25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'绩效分析'!$A$26:$A$30</f>
            </numRef>
          </cat>
          <val>
            <numRef>
              <f>'绩效分析'!$C$26:$C$30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培训课程满意度排名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'培训投入产出'!D11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'培训投入产出'!$B$12:$B$29</f>
            </numRef>
          </cat>
          <val>
            <numRef>
              <f>'培训投入产出'!$D$12:$D$29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满意度评分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23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24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10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Q1 人力资源分析报告 · 总览</t>
        </is>
      </c>
    </row>
    <row r="2">
      <c r="A2" s="2" t="inlineStr">
        <is>
          <t>报告周期：2026年Q1（数据截至2026年3月）</t>
        </is>
      </c>
    </row>
    <row r="4" ht="40" customHeight="1">
      <c r="A4" s="1" t="inlineStr">
        <is>
          <t>167人</t>
        </is>
      </c>
      <c r="B4" s="1" t="inlineStr">
        <is>
          <t>61.1%</t>
        </is>
      </c>
      <c r="C4" s="1" t="inlineStr">
        <is>
          <t>¥16,914</t>
        </is>
      </c>
      <c r="D4" s="1" t="inlineStr">
        <is>
          <t>77.8</t>
        </is>
      </c>
      <c r="E4" s="1" t="inlineStr">
        <is>
          <t>¥32,000</t>
        </is>
      </c>
      <c r="F4" s="1" t="inlineStr">
        <is>
          <t>4.16/5</t>
        </is>
      </c>
    </row>
    <row r="5" ht="20" customHeight="1">
      <c r="A5" s="3" t="inlineStr">
        <is>
          <t>总人数</t>
        </is>
      </c>
      <c r="B5" s="3" t="inlineStr">
        <is>
          <t>在职率</t>
        </is>
      </c>
      <c r="C5" s="3" t="inlineStr">
        <is>
          <t>平均实发工资</t>
        </is>
      </c>
      <c r="D5" s="3" t="inlineStr">
        <is>
          <t>平均绩效分</t>
        </is>
      </c>
      <c r="E5" s="3" t="inlineStr">
        <is>
          <t>培训总费用</t>
        </is>
      </c>
      <c r="F5" s="3" t="inlineStr">
        <is>
          <t>培训满意度</t>
        </is>
      </c>
    </row>
    <row r="8">
      <c r="A8" s="4" t="inlineStr">
        <is>
          <t>各部门核心指标汇总</t>
        </is>
      </c>
    </row>
    <row r="9">
      <c r="A9" s="5" t="inlineStr">
        <is>
          <t>部门</t>
        </is>
      </c>
      <c r="B9" s="5" t="inlineStr">
        <is>
          <t>人数</t>
        </is>
      </c>
      <c r="C9" s="5" t="inlineStr">
        <is>
          <t>平均实发工资</t>
        </is>
      </c>
      <c r="D9" s="5" t="inlineStr">
        <is>
          <t>平均绩效分</t>
        </is>
      </c>
      <c r="E9" s="5" t="inlineStr">
        <is>
          <t>迟到次数</t>
        </is>
      </c>
      <c r="F9" s="5" t="inlineStr">
        <is>
          <t>早退次数</t>
        </is>
      </c>
      <c r="G9" s="5" t="inlineStr">
        <is>
          <t>请假天数</t>
        </is>
      </c>
    </row>
    <row r="10">
      <c r="A10" s="6" t="inlineStr">
        <is>
          <t>产品部</t>
        </is>
      </c>
      <c r="B10" s="6" t="n">
        <v>18</v>
      </c>
      <c r="C10" s="7" t="n">
        <v>22116</v>
      </c>
      <c r="D10" s="6" t="n">
        <v>75.22</v>
      </c>
      <c r="E10" s="6" t="n">
        <v>41</v>
      </c>
      <c r="F10" s="6" t="n">
        <v>11</v>
      </c>
      <c r="G10" s="6" t="n">
        <v>19</v>
      </c>
    </row>
    <row r="11">
      <c r="A11" s="8" t="inlineStr">
        <is>
          <t>人力资源部</t>
        </is>
      </c>
      <c r="B11" s="8" t="n">
        <v>8</v>
      </c>
      <c r="C11" s="9" t="n">
        <v>17060</v>
      </c>
      <c r="D11" s="8" t="n">
        <v>80.41</v>
      </c>
      <c r="E11" s="8" t="n">
        <v>13</v>
      </c>
      <c r="F11" s="8" t="n">
        <v>5</v>
      </c>
      <c r="G11" s="8" t="n">
        <v>13</v>
      </c>
    </row>
    <row r="12">
      <c r="A12" s="6" t="inlineStr">
        <is>
          <t>客服部</t>
        </is>
      </c>
      <c r="B12" s="6" t="n">
        <v>19</v>
      </c>
      <c r="C12" s="7" t="n">
        <v>15604</v>
      </c>
      <c r="D12" s="6" t="n">
        <v>79.41</v>
      </c>
      <c r="E12" s="6" t="n">
        <v>31</v>
      </c>
      <c r="F12" s="6" t="n">
        <v>22</v>
      </c>
      <c r="G12" s="6" t="n">
        <v>24</v>
      </c>
    </row>
    <row r="13">
      <c r="A13" s="8" t="inlineStr">
        <is>
          <t>市场部</t>
        </is>
      </c>
      <c r="B13" s="8" t="n">
        <v>18</v>
      </c>
      <c r="C13" s="9" t="n">
        <v>13457</v>
      </c>
      <c r="D13" s="8" t="n">
        <v>77.45999999999999</v>
      </c>
      <c r="E13" s="8" t="n">
        <v>39</v>
      </c>
      <c r="F13" s="8" t="n">
        <v>12</v>
      </c>
      <c r="G13" s="8" t="n">
        <v>22</v>
      </c>
    </row>
    <row r="14">
      <c r="A14" s="6" t="inlineStr">
        <is>
          <t>技术部</t>
        </is>
      </c>
      <c r="B14" s="6" t="n">
        <v>35</v>
      </c>
      <c r="C14" s="7" t="n">
        <v>18697</v>
      </c>
      <c r="D14" s="6" t="n">
        <v>78.18000000000001</v>
      </c>
      <c r="E14" s="6" t="n">
        <v>79</v>
      </c>
      <c r="F14" s="6" t="n">
        <v>32</v>
      </c>
      <c r="G14" s="6" t="n">
        <v>36</v>
      </c>
    </row>
    <row r="15">
      <c r="A15" s="8" t="inlineStr">
        <is>
          <t>行政部</t>
        </is>
      </c>
      <c r="B15" s="8" t="n">
        <v>19</v>
      </c>
      <c r="C15" s="9" t="n">
        <v>13468</v>
      </c>
      <c r="D15" s="8" t="n">
        <v>78.88</v>
      </c>
      <c r="E15" s="8" t="n">
        <v>40</v>
      </c>
      <c r="F15" s="8" t="n">
        <v>20</v>
      </c>
      <c r="G15" s="8" t="n">
        <v>33</v>
      </c>
    </row>
    <row r="16">
      <c r="A16" s="6" t="inlineStr">
        <is>
          <t>财务部</t>
        </is>
      </c>
      <c r="B16" s="6" t="n">
        <v>14</v>
      </c>
      <c r="C16" s="7" t="n">
        <v>12352</v>
      </c>
      <c r="D16" s="6" t="n">
        <v>76.66</v>
      </c>
      <c r="E16" s="6" t="n">
        <v>38</v>
      </c>
      <c r="F16" s="6" t="n">
        <v>16</v>
      </c>
      <c r="G16" s="6" t="n">
        <v>20</v>
      </c>
    </row>
    <row r="17">
      <c r="A17" s="8" t="inlineStr">
        <is>
          <t>销售部</t>
        </is>
      </c>
      <c r="B17" s="8" t="n">
        <v>36</v>
      </c>
      <c r="C17" s="9" t="n">
        <v>19178</v>
      </c>
      <c r="D17" s="8" t="n">
        <v>77.36</v>
      </c>
      <c r="E17" s="8" t="n">
        <v>59</v>
      </c>
      <c r="F17" s="8" t="n">
        <v>39</v>
      </c>
      <c r="G17" s="8" t="n">
        <v>49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35" customHeight="1">
      <c r="A1" s="10" t="inlineStr">
        <is>
          <t>人员结构概况</t>
        </is>
      </c>
    </row>
    <row r="3">
      <c r="A3" s="4" t="inlineStr">
        <is>
          <t>一、各部门人数统计</t>
        </is>
      </c>
    </row>
    <row r="4">
      <c r="A4" s="5" t="inlineStr">
        <is>
          <t>部门</t>
        </is>
      </c>
      <c r="B4" s="5" t="inlineStr">
        <is>
          <t>人数</t>
        </is>
      </c>
      <c r="C4" s="5" t="inlineStr">
        <is>
          <t>占比</t>
        </is>
      </c>
    </row>
    <row r="5">
      <c r="A5" s="6" t="inlineStr">
        <is>
          <t>销售部</t>
        </is>
      </c>
      <c r="B5" s="6" t="n">
        <v>36</v>
      </c>
      <c r="C5" s="11" t="n">
        <v>0.2155688622754491</v>
      </c>
    </row>
    <row r="6">
      <c r="A6" s="8" t="inlineStr">
        <is>
          <t>技术部</t>
        </is>
      </c>
      <c r="B6" s="8" t="n">
        <v>35</v>
      </c>
      <c r="C6" s="12" t="n">
        <v>0.2095808383233533</v>
      </c>
    </row>
    <row r="7">
      <c r="A7" s="6" t="inlineStr">
        <is>
          <t>客服部</t>
        </is>
      </c>
      <c r="B7" s="6" t="n">
        <v>19</v>
      </c>
      <c r="C7" s="11" t="n">
        <v>0.1137724550898204</v>
      </c>
    </row>
    <row r="8">
      <c r="A8" s="8" t="inlineStr">
        <is>
          <t>行政部</t>
        </is>
      </c>
      <c r="B8" s="8" t="n">
        <v>19</v>
      </c>
      <c r="C8" s="12" t="n">
        <v>0.1137724550898204</v>
      </c>
    </row>
    <row r="9">
      <c r="A9" s="6" t="inlineStr">
        <is>
          <t>产品部</t>
        </is>
      </c>
      <c r="B9" s="6" t="n">
        <v>18</v>
      </c>
      <c r="C9" s="11" t="n">
        <v>0.1077844311377246</v>
      </c>
    </row>
    <row r="10">
      <c r="A10" s="8" t="inlineStr">
        <is>
          <t>市场部</t>
        </is>
      </c>
      <c r="B10" s="8" t="n">
        <v>18</v>
      </c>
      <c r="C10" s="12" t="n">
        <v>0.1077844311377246</v>
      </c>
    </row>
    <row r="11">
      <c r="A11" s="6" t="inlineStr">
        <is>
          <t>财务部</t>
        </is>
      </c>
      <c r="B11" s="6" t="n">
        <v>14</v>
      </c>
      <c r="C11" s="11" t="n">
        <v>0.08383233532934131</v>
      </c>
    </row>
    <row r="12">
      <c r="A12" s="8" t="inlineStr">
        <is>
          <t>人力资源部</t>
        </is>
      </c>
      <c r="B12" s="8" t="n">
        <v>8</v>
      </c>
      <c r="C12" s="12" t="n">
        <v>0.04790419161676647</v>
      </c>
    </row>
    <row r="15">
      <c r="A15" s="4" t="inlineStr">
        <is>
          <t>二、学历分布</t>
        </is>
      </c>
    </row>
    <row r="16">
      <c r="A16" s="5" t="inlineStr">
        <is>
          <t>学历</t>
        </is>
      </c>
      <c r="B16" s="5" t="inlineStr">
        <is>
          <t>人数</t>
        </is>
      </c>
      <c r="C16" s="5" t="inlineStr">
        <is>
          <t>占比</t>
        </is>
      </c>
    </row>
    <row r="17">
      <c r="A17" s="6" t="inlineStr">
        <is>
          <t>本科</t>
        </is>
      </c>
      <c r="B17" s="6" t="n">
        <v>86</v>
      </c>
      <c r="C17" s="11" t="n">
        <v>0.5149700598802395</v>
      </c>
    </row>
    <row r="18">
      <c r="A18" s="8" t="inlineStr">
        <is>
          <t>硕士</t>
        </is>
      </c>
      <c r="B18" s="8" t="n">
        <v>39</v>
      </c>
      <c r="C18" s="12" t="n">
        <v>0.2335329341317365</v>
      </c>
    </row>
    <row r="19">
      <c r="A19" s="6" t="inlineStr">
        <is>
          <t>大专</t>
        </is>
      </c>
      <c r="B19" s="6" t="n">
        <v>26</v>
      </c>
      <c r="C19" s="11" t="n">
        <v>0.155688622754491</v>
      </c>
    </row>
    <row r="20">
      <c r="A20" s="8" t="inlineStr">
        <is>
          <t>博士</t>
        </is>
      </c>
      <c r="B20" s="8" t="n">
        <v>16</v>
      </c>
      <c r="C20" s="12" t="n">
        <v>0.09580838323353294</v>
      </c>
    </row>
    <row r="23">
      <c r="A23" s="4" t="inlineStr">
        <is>
          <t>三、在职状态分布</t>
        </is>
      </c>
    </row>
    <row r="24">
      <c r="A24" s="5" t="inlineStr">
        <is>
          <t>状态</t>
        </is>
      </c>
      <c r="B24" s="5" t="inlineStr">
        <is>
          <t>人数</t>
        </is>
      </c>
      <c r="C24" s="5" t="inlineStr">
        <is>
          <t>占比</t>
        </is>
      </c>
    </row>
    <row r="25">
      <c r="A25" s="6" t="inlineStr">
        <is>
          <t>在职</t>
        </is>
      </c>
      <c r="B25" s="6" t="n">
        <v>102</v>
      </c>
      <c r="C25" s="11" t="n">
        <v>0.6107784431137725</v>
      </c>
    </row>
    <row r="26">
      <c r="A26" s="8" t="inlineStr">
        <is>
          <t>试用期</t>
        </is>
      </c>
      <c r="B26" s="8" t="n">
        <v>46</v>
      </c>
      <c r="C26" s="12" t="n">
        <v>0.2754491017964072</v>
      </c>
    </row>
    <row r="27">
      <c r="A27" s="6" t="inlineStr">
        <is>
          <t>离职</t>
        </is>
      </c>
      <c r="B27" s="6" t="n">
        <v>19</v>
      </c>
      <c r="C27" s="11" t="n">
        <v>0.1137724550898204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0" t="inlineStr">
        <is>
          <t>考勤异常分析</t>
        </is>
      </c>
    </row>
    <row r="3">
      <c r="A3" s="4" t="inlineStr">
        <is>
          <t>一、各部门考勤异常统计</t>
        </is>
      </c>
    </row>
    <row r="4">
      <c r="A4" s="5" t="inlineStr">
        <is>
          <t>部门</t>
        </is>
      </c>
      <c r="B4" s="5" t="inlineStr">
        <is>
          <t>人数</t>
        </is>
      </c>
      <c r="C4" s="5" t="inlineStr">
        <is>
          <t>迟到次数</t>
        </is>
      </c>
      <c r="D4" s="5" t="inlineStr">
        <is>
          <t>早退次数</t>
        </is>
      </c>
      <c r="E4" s="5" t="inlineStr">
        <is>
          <t>异常总次数</t>
        </is>
      </c>
      <c r="F4" s="5" t="inlineStr">
        <is>
          <t>请假天数</t>
        </is>
      </c>
      <c r="G4" s="5" t="inlineStr">
        <is>
          <t>请假率</t>
        </is>
      </c>
    </row>
    <row r="5">
      <c r="A5" s="6" t="inlineStr">
        <is>
          <t>技术部</t>
        </is>
      </c>
      <c r="B5" s="6" t="n">
        <v>30</v>
      </c>
      <c r="C5" s="6" t="n">
        <v>79</v>
      </c>
      <c r="D5" s="6" t="n">
        <v>32</v>
      </c>
      <c r="E5" s="6" t="n">
        <v>111</v>
      </c>
      <c r="F5" s="6" t="n">
        <v>36</v>
      </c>
      <c r="G5" s="11" t="n">
        <v>0.05454545454545454</v>
      </c>
    </row>
    <row r="6">
      <c r="A6" s="8" t="inlineStr">
        <is>
          <t>销售部</t>
        </is>
      </c>
      <c r="B6" s="8" t="n">
        <v>30</v>
      </c>
      <c r="C6" s="8" t="n">
        <v>59</v>
      </c>
      <c r="D6" s="8" t="n">
        <v>39</v>
      </c>
      <c r="E6" s="8" t="n">
        <v>98</v>
      </c>
      <c r="F6" s="8" t="n">
        <v>49</v>
      </c>
      <c r="G6" s="12" t="n">
        <v>0.07424242424242425</v>
      </c>
    </row>
    <row r="7">
      <c r="A7" s="6" t="inlineStr">
        <is>
          <t>行政部</t>
        </is>
      </c>
      <c r="B7" s="6" t="n">
        <v>19</v>
      </c>
      <c r="C7" s="6" t="n">
        <v>40</v>
      </c>
      <c r="D7" s="6" t="n">
        <v>20</v>
      </c>
      <c r="E7" s="6" t="n">
        <v>60</v>
      </c>
      <c r="F7" s="6" t="n">
        <v>33</v>
      </c>
      <c r="G7" s="11" t="n">
        <v>0.07894736842105263</v>
      </c>
    </row>
    <row r="8">
      <c r="A8" s="8" t="inlineStr">
        <is>
          <t>财务部</t>
        </is>
      </c>
      <c r="B8" s="8" t="n">
        <v>14</v>
      </c>
      <c r="C8" s="8" t="n">
        <v>38</v>
      </c>
      <c r="D8" s="8" t="n">
        <v>16</v>
      </c>
      <c r="E8" s="8" t="n">
        <v>54</v>
      </c>
      <c r="F8" s="8" t="n">
        <v>20</v>
      </c>
      <c r="G8" s="12" t="n">
        <v>0.06493506493506493</v>
      </c>
    </row>
    <row r="9">
      <c r="A9" s="6" t="inlineStr">
        <is>
          <t>客服部</t>
        </is>
      </c>
      <c r="B9" s="6" t="n">
        <v>16</v>
      </c>
      <c r="C9" s="6" t="n">
        <v>31</v>
      </c>
      <c r="D9" s="6" t="n">
        <v>22</v>
      </c>
      <c r="E9" s="6" t="n">
        <v>53</v>
      </c>
      <c r="F9" s="6" t="n">
        <v>24</v>
      </c>
      <c r="G9" s="11" t="n">
        <v>0.06818181818181818</v>
      </c>
    </row>
    <row r="10">
      <c r="A10" s="8" t="inlineStr">
        <is>
          <t>产品部</t>
        </is>
      </c>
      <c r="B10" s="8" t="n">
        <v>16</v>
      </c>
      <c r="C10" s="8" t="n">
        <v>41</v>
      </c>
      <c r="D10" s="8" t="n">
        <v>11</v>
      </c>
      <c r="E10" s="8" t="n">
        <v>52</v>
      </c>
      <c r="F10" s="8" t="n">
        <v>19</v>
      </c>
      <c r="G10" s="12" t="n">
        <v>0.05397727272727273</v>
      </c>
    </row>
    <row r="11">
      <c r="A11" s="6" t="inlineStr">
        <is>
          <t>市场部</t>
        </is>
      </c>
      <c r="B11" s="6" t="n">
        <v>16</v>
      </c>
      <c r="C11" s="6" t="n">
        <v>39</v>
      </c>
      <c r="D11" s="6" t="n">
        <v>12</v>
      </c>
      <c r="E11" s="6" t="n">
        <v>51</v>
      </c>
      <c r="F11" s="6" t="n">
        <v>22</v>
      </c>
      <c r="G11" s="11" t="n">
        <v>0.0625</v>
      </c>
    </row>
    <row r="12">
      <c r="A12" s="8" t="inlineStr">
        <is>
          <t>人力资源部</t>
        </is>
      </c>
      <c r="B12" s="8" t="n">
        <v>7</v>
      </c>
      <c r="C12" s="8" t="n">
        <v>13</v>
      </c>
      <c r="D12" s="8" t="n">
        <v>5</v>
      </c>
      <c r="E12" s="8" t="n">
        <v>18</v>
      </c>
      <c r="F12" s="8" t="n">
        <v>13</v>
      </c>
      <c r="G12" s="12" t="n">
        <v>0.08441558441558442</v>
      </c>
    </row>
    <row r="15">
      <c r="A15" s="4" t="inlineStr">
        <is>
          <t>二、各部门请假率排名</t>
        </is>
      </c>
    </row>
    <row r="16">
      <c r="A16" s="5" t="inlineStr">
        <is>
          <t>排名</t>
        </is>
      </c>
      <c r="B16" s="5" t="inlineStr">
        <is>
          <t>部门</t>
        </is>
      </c>
      <c r="C16" s="5" t="inlineStr">
        <is>
          <t>请假天数</t>
        </is>
      </c>
      <c r="D16" s="5" t="inlineStr">
        <is>
          <t>人数</t>
        </is>
      </c>
      <c r="E16" s="5" t="inlineStr">
        <is>
          <t>请假率</t>
        </is>
      </c>
    </row>
    <row r="17">
      <c r="A17" s="6" t="n">
        <v>1</v>
      </c>
      <c r="B17" s="6" t="inlineStr">
        <is>
          <t>人力资源部</t>
        </is>
      </c>
      <c r="C17" s="6" t="n">
        <v>13</v>
      </c>
      <c r="D17" s="6" t="n">
        <v>7</v>
      </c>
      <c r="E17" s="11" t="n">
        <v>0.08441558441558442</v>
      </c>
    </row>
    <row r="18">
      <c r="A18" s="8" t="n">
        <v>2</v>
      </c>
      <c r="B18" s="8" t="inlineStr">
        <is>
          <t>行政部</t>
        </is>
      </c>
      <c r="C18" s="8" t="n">
        <v>33</v>
      </c>
      <c r="D18" s="8" t="n">
        <v>19</v>
      </c>
      <c r="E18" s="12" t="n">
        <v>0.07894736842105263</v>
      </c>
    </row>
    <row r="19">
      <c r="A19" s="6" t="n">
        <v>3</v>
      </c>
      <c r="B19" s="6" t="inlineStr">
        <is>
          <t>销售部</t>
        </is>
      </c>
      <c r="C19" s="6" t="n">
        <v>49</v>
      </c>
      <c r="D19" s="6" t="n">
        <v>30</v>
      </c>
      <c r="E19" s="11" t="n">
        <v>0.07424242424242425</v>
      </c>
    </row>
    <row r="20">
      <c r="A20" s="8" t="n">
        <v>4</v>
      </c>
      <c r="B20" s="8" t="inlineStr">
        <is>
          <t>客服部</t>
        </is>
      </c>
      <c r="C20" s="8" t="n">
        <v>24</v>
      </c>
      <c r="D20" s="8" t="n">
        <v>16</v>
      </c>
      <c r="E20" s="12" t="n">
        <v>0.06818181818181818</v>
      </c>
    </row>
    <row r="21">
      <c r="A21" s="6" t="n">
        <v>5</v>
      </c>
      <c r="B21" s="6" t="inlineStr">
        <is>
          <t>财务部</t>
        </is>
      </c>
      <c r="C21" s="6" t="n">
        <v>20</v>
      </c>
      <c r="D21" s="6" t="n">
        <v>14</v>
      </c>
      <c r="E21" s="11" t="n">
        <v>0.06493506493506493</v>
      </c>
    </row>
    <row r="22">
      <c r="A22" s="8" t="n">
        <v>6</v>
      </c>
      <c r="B22" s="8" t="inlineStr">
        <is>
          <t>市场部</t>
        </is>
      </c>
      <c r="C22" s="8" t="n">
        <v>22</v>
      </c>
      <c r="D22" s="8" t="n">
        <v>16</v>
      </c>
      <c r="E22" s="12" t="n">
        <v>0.0625</v>
      </c>
    </row>
    <row r="23">
      <c r="A23" s="6" t="n">
        <v>7</v>
      </c>
      <c r="B23" s="6" t="inlineStr">
        <is>
          <t>技术部</t>
        </is>
      </c>
      <c r="C23" s="6" t="n">
        <v>36</v>
      </c>
      <c r="D23" s="6" t="n">
        <v>30</v>
      </c>
      <c r="E23" s="11" t="n">
        <v>0.05454545454545454</v>
      </c>
    </row>
    <row r="24">
      <c r="A24" s="8" t="n">
        <v>8</v>
      </c>
      <c r="B24" s="8" t="inlineStr">
        <is>
          <t>产品部</t>
        </is>
      </c>
      <c r="C24" s="8" t="n">
        <v>19</v>
      </c>
      <c r="D24" s="8" t="n">
        <v>16</v>
      </c>
      <c r="E24" s="12" t="n">
        <v>0.05397727272727273</v>
      </c>
    </row>
    <row r="27">
      <c r="A27" s="4" t="inlineStr">
        <is>
          <t>三、Top 10 考勤异常员工</t>
        </is>
      </c>
    </row>
    <row r="28">
      <c r="A28" s="5" t="inlineStr">
        <is>
          <t>排名</t>
        </is>
      </c>
      <c r="B28" s="5" t="inlineStr">
        <is>
          <t>工号</t>
        </is>
      </c>
      <c r="C28" s="5" t="inlineStr">
        <is>
          <t>姓名</t>
        </is>
      </c>
      <c r="D28" s="5" t="inlineStr">
        <is>
          <t>部门</t>
        </is>
      </c>
      <c r="E28" s="5" t="inlineStr">
        <is>
          <t>迟到次数</t>
        </is>
      </c>
      <c r="F28" s="5" t="inlineStr">
        <is>
          <t>早退次数</t>
        </is>
      </c>
      <c r="G28" s="5" t="inlineStr">
        <is>
          <t>异常总次数</t>
        </is>
      </c>
      <c r="H28" s="5" t="inlineStr">
        <is>
          <t>请假天数</t>
        </is>
      </c>
    </row>
    <row r="29">
      <c r="A29" s="13" t="n">
        <v>1</v>
      </c>
      <c r="B29" s="13" t="inlineStr">
        <is>
          <t>EMP10126</t>
        </is>
      </c>
      <c r="C29" s="13" t="inlineStr">
        <is>
          <t>郑俊杰</t>
        </is>
      </c>
      <c r="D29" s="13" t="inlineStr">
        <is>
          <t>财务部</t>
        </is>
      </c>
      <c r="E29" s="13" t="n">
        <v>8</v>
      </c>
      <c r="F29" s="13" t="n">
        <v>2</v>
      </c>
      <c r="G29" s="13" t="n">
        <v>10</v>
      </c>
      <c r="H29" s="13" t="n">
        <v>0</v>
      </c>
    </row>
    <row r="30">
      <c r="A30" s="13" t="n">
        <v>2</v>
      </c>
      <c r="B30" s="13" t="inlineStr">
        <is>
          <t>EMP10105</t>
        </is>
      </c>
      <c r="C30" s="13" t="inlineStr">
        <is>
          <t>徐海燕</t>
        </is>
      </c>
      <c r="D30" s="13" t="inlineStr">
        <is>
          <t>销售部</t>
        </is>
      </c>
      <c r="E30" s="13" t="n">
        <v>5</v>
      </c>
      <c r="F30" s="13" t="n">
        <v>4</v>
      </c>
      <c r="G30" s="13" t="n">
        <v>9</v>
      </c>
      <c r="H30" s="13" t="n">
        <v>1</v>
      </c>
    </row>
    <row r="31">
      <c r="A31" s="13" t="n">
        <v>3</v>
      </c>
      <c r="B31" s="13" t="inlineStr">
        <is>
          <t>EMP10073</t>
        </is>
      </c>
      <c r="C31" s="13" t="inlineStr">
        <is>
          <t>林刚</t>
        </is>
      </c>
      <c r="D31" s="13" t="inlineStr">
        <is>
          <t>销售部</t>
        </is>
      </c>
      <c r="E31" s="13" t="n">
        <v>4</v>
      </c>
      <c r="F31" s="13" t="n">
        <v>4</v>
      </c>
      <c r="G31" s="13" t="n">
        <v>8</v>
      </c>
      <c r="H31" s="13" t="n">
        <v>2</v>
      </c>
    </row>
    <row r="32">
      <c r="A32" s="8" t="n">
        <v>4</v>
      </c>
      <c r="B32" s="8" t="inlineStr">
        <is>
          <t>EMP10055</t>
        </is>
      </c>
      <c r="C32" s="8" t="inlineStr">
        <is>
          <t>王志强</t>
        </is>
      </c>
      <c r="D32" s="8" t="inlineStr">
        <is>
          <t>市场部</t>
        </is>
      </c>
      <c r="E32" s="8" t="n">
        <v>5</v>
      </c>
      <c r="F32" s="8" t="n">
        <v>3</v>
      </c>
      <c r="G32" s="8" t="n">
        <v>8</v>
      </c>
      <c r="H32" s="8" t="n">
        <v>1</v>
      </c>
    </row>
    <row r="33">
      <c r="A33" s="6" t="n">
        <v>5</v>
      </c>
      <c r="B33" s="6" t="inlineStr">
        <is>
          <t>EMP10003</t>
        </is>
      </c>
      <c r="C33" s="6" t="inlineStr">
        <is>
          <t>徐磊</t>
        </is>
      </c>
      <c r="D33" s="6" t="inlineStr">
        <is>
          <t>技术部</t>
        </is>
      </c>
      <c r="E33" s="6" t="n">
        <v>4</v>
      </c>
      <c r="F33" s="6" t="n">
        <v>4</v>
      </c>
      <c r="G33" s="6" t="n">
        <v>8</v>
      </c>
      <c r="H33" s="6" t="n">
        <v>1</v>
      </c>
    </row>
    <row r="34">
      <c r="A34" s="8" t="n">
        <v>6</v>
      </c>
      <c r="B34" s="8" t="inlineStr">
        <is>
          <t>EMP10161</t>
        </is>
      </c>
      <c r="C34" s="8" t="inlineStr">
        <is>
          <t>朱勇</t>
        </is>
      </c>
      <c r="D34" s="8" t="inlineStr">
        <is>
          <t>客服部</t>
        </is>
      </c>
      <c r="E34" s="8" t="n">
        <v>3</v>
      </c>
      <c r="F34" s="8" t="n">
        <v>4</v>
      </c>
      <c r="G34" s="8" t="n">
        <v>7</v>
      </c>
      <c r="H34" s="8" t="n">
        <v>1</v>
      </c>
    </row>
    <row r="35">
      <c r="A35" s="6" t="n">
        <v>7</v>
      </c>
      <c r="B35" s="6" t="inlineStr">
        <is>
          <t>EMP10127</t>
        </is>
      </c>
      <c r="C35" s="6" t="inlineStr">
        <is>
          <t>林涛</t>
        </is>
      </c>
      <c r="D35" s="6" t="inlineStr">
        <is>
          <t>财务部</t>
        </is>
      </c>
      <c r="E35" s="6" t="n">
        <v>5</v>
      </c>
      <c r="F35" s="6" t="n">
        <v>2</v>
      </c>
      <c r="G35" s="6" t="n">
        <v>7</v>
      </c>
      <c r="H35" s="6" t="n">
        <v>1</v>
      </c>
    </row>
    <row r="36">
      <c r="A36" s="8" t="n">
        <v>8</v>
      </c>
      <c r="B36" s="8" t="inlineStr">
        <is>
          <t>EMP10053</t>
        </is>
      </c>
      <c r="C36" s="8" t="inlineStr">
        <is>
          <t>马芳</t>
        </is>
      </c>
      <c r="D36" s="8" t="inlineStr">
        <is>
          <t>产品部</t>
        </is>
      </c>
      <c r="E36" s="8" t="n">
        <v>5</v>
      </c>
      <c r="F36" s="8" t="n">
        <v>2</v>
      </c>
      <c r="G36" s="8" t="n">
        <v>7</v>
      </c>
      <c r="H36" s="8" t="n">
        <v>0</v>
      </c>
    </row>
    <row r="37">
      <c r="A37" s="6" t="n">
        <v>9</v>
      </c>
      <c r="B37" s="6" t="inlineStr">
        <is>
          <t>EMP10106</t>
        </is>
      </c>
      <c r="C37" s="6" t="inlineStr">
        <is>
          <t>张强</t>
        </is>
      </c>
      <c r="D37" s="6" t="inlineStr">
        <is>
          <t>销售部</t>
        </is>
      </c>
      <c r="E37" s="6" t="n">
        <v>5</v>
      </c>
      <c r="F37" s="6" t="n">
        <v>2</v>
      </c>
      <c r="G37" s="6" t="n">
        <v>7</v>
      </c>
      <c r="H37" s="6" t="n">
        <v>3</v>
      </c>
    </row>
    <row r="38">
      <c r="A38" s="8" t="n">
        <v>10</v>
      </c>
      <c r="B38" s="8" t="inlineStr">
        <is>
          <t>EMP10013</t>
        </is>
      </c>
      <c r="C38" s="8" t="inlineStr">
        <is>
          <t>王洋</t>
        </is>
      </c>
      <c r="D38" s="8" t="inlineStr">
        <is>
          <t>技术部</t>
        </is>
      </c>
      <c r="E38" s="8" t="n">
        <v>4</v>
      </c>
      <c r="F38" s="8" t="n">
        <v>2</v>
      </c>
      <c r="G38" s="8" t="n">
        <v>6</v>
      </c>
      <c r="H38" s="8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0" t="inlineStr">
        <is>
          <t>薪酬分布分析</t>
        </is>
      </c>
    </row>
    <row r="3">
      <c r="A3" s="4" t="inlineStr">
        <is>
          <t>一、各部门薪资对比</t>
        </is>
      </c>
    </row>
    <row r="4">
      <c r="A4" s="5" t="inlineStr">
        <is>
          <t>部门</t>
        </is>
      </c>
      <c r="B4" s="5" t="inlineStr">
        <is>
          <t>人数</t>
        </is>
      </c>
      <c r="C4" s="5" t="inlineStr">
        <is>
          <t>平均实发工资</t>
        </is>
      </c>
      <c r="D4" s="5" t="inlineStr">
        <is>
          <t>最低工资</t>
        </is>
      </c>
      <c r="E4" s="5" t="inlineStr">
        <is>
          <t>最高工资</t>
        </is>
      </c>
    </row>
    <row r="5">
      <c r="A5" s="6" t="inlineStr">
        <is>
          <t>产品部</t>
        </is>
      </c>
      <c r="B5" s="6" t="n">
        <v>16</v>
      </c>
      <c r="C5" s="7" t="n">
        <v>22116</v>
      </c>
      <c r="D5" s="7" t="n">
        <v>9281</v>
      </c>
      <c r="E5" s="7" t="n">
        <v>32213</v>
      </c>
    </row>
    <row r="6">
      <c r="A6" s="8" t="inlineStr">
        <is>
          <t>销售部</t>
        </is>
      </c>
      <c r="B6" s="8" t="n">
        <v>30</v>
      </c>
      <c r="C6" s="9" t="n">
        <v>19178</v>
      </c>
      <c r="D6" s="9" t="n">
        <v>7670</v>
      </c>
      <c r="E6" s="9" t="n">
        <v>30996</v>
      </c>
    </row>
    <row r="7">
      <c r="A7" s="6" t="inlineStr">
        <is>
          <t>技术部</t>
        </is>
      </c>
      <c r="B7" s="6" t="n">
        <v>30</v>
      </c>
      <c r="C7" s="7" t="n">
        <v>18697</v>
      </c>
      <c r="D7" s="7" t="n">
        <v>10502</v>
      </c>
      <c r="E7" s="7" t="n">
        <v>36343</v>
      </c>
    </row>
    <row r="8">
      <c r="A8" s="8" t="inlineStr">
        <is>
          <t>人力资源部</t>
        </is>
      </c>
      <c r="B8" s="8" t="n">
        <v>7</v>
      </c>
      <c r="C8" s="9" t="n">
        <v>17060</v>
      </c>
      <c r="D8" s="9" t="n">
        <v>10037</v>
      </c>
      <c r="E8" s="9" t="n">
        <v>21136</v>
      </c>
    </row>
    <row r="9">
      <c r="A9" s="6" t="inlineStr">
        <is>
          <t>客服部</t>
        </is>
      </c>
      <c r="B9" s="6" t="n">
        <v>16</v>
      </c>
      <c r="C9" s="7" t="n">
        <v>15604</v>
      </c>
      <c r="D9" s="7" t="n">
        <v>8579</v>
      </c>
      <c r="E9" s="7" t="n">
        <v>24824</v>
      </c>
    </row>
    <row r="10">
      <c r="A10" s="8" t="inlineStr">
        <is>
          <t>行政部</t>
        </is>
      </c>
      <c r="B10" s="8" t="n">
        <v>19</v>
      </c>
      <c r="C10" s="9" t="n">
        <v>13468</v>
      </c>
      <c r="D10" s="9" t="n">
        <v>6600</v>
      </c>
      <c r="E10" s="9" t="n">
        <v>20440</v>
      </c>
    </row>
    <row r="11">
      <c r="A11" s="6" t="inlineStr">
        <is>
          <t>市场部</t>
        </is>
      </c>
      <c r="B11" s="6" t="n">
        <v>16</v>
      </c>
      <c r="C11" s="7" t="n">
        <v>13457</v>
      </c>
      <c r="D11" s="7" t="n">
        <v>8823</v>
      </c>
      <c r="E11" s="7" t="n">
        <v>19426</v>
      </c>
    </row>
    <row r="12">
      <c r="A12" s="8" t="inlineStr">
        <is>
          <t>财务部</t>
        </is>
      </c>
      <c r="B12" s="8" t="n">
        <v>14</v>
      </c>
      <c r="C12" s="9" t="n">
        <v>12352</v>
      </c>
      <c r="D12" s="9" t="n">
        <v>8663</v>
      </c>
      <c r="E12" s="9" t="n">
        <v>24074</v>
      </c>
    </row>
    <row r="15">
      <c r="A15" s="4" t="inlineStr">
        <is>
          <t>二、薪资区间分布</t>
        </is>
      </c>
    </row>
    <row r="16">
      <c r="A16" s="5" t="inlineStr">
        <is>
          <t>薪资区间</t>
        </is>
      </c>
      <c r="B16" s="5" t="inlineStr">
        <is>
          <t>人数</t>
        </is>
      </c>
      <c r="C16" s="5" t="inlineStr">
        <is>
          <t>占比</t>
        </is>
      </c>
    </row>
    <row r="17">
      <c r="A17" s="6" t="inlineStr">
        <is>
          <t>5000以下</t>
        </is>
      </c>
      <c r="B17" s="6" t="n">
        <v>0</v>
      </c>
      <c r="C17" s="11" t="n">
        <v>0</v>
      </c>
    </row>
    <row r="18">
      <c r="A18" s="8" t="inlineStr">
        <is>
          <t>5000-10000</t>
        </is>
      </c>
      <c r="B18" s="8" t="n">
        <v>18</v>
      </c>
      <c r="C18" s="12" t="n">
        <v>0.1216216216216216</v>
      </c>
    </row>
    <row r="19">
      <c r="A19" s="6" t="inlineStr">
        <is>
          <t>10000-15000</t>
        </is>
      </c>
      <c r="B19" s="6" t="n">
        <v>53</v>
      </c>
      <c r="C19" s="11" t="n">
        <v>0.3581081081081081</v>
      </c>
    </row>
    <row r="20">
      <c r="A20" s="8" t="inlineStr">
        <is>
          <t>15000-20000</t>
        </is>
      </c>
      <c r="B20" s="8" t="n">
        <v>29</v>
      </c>
      <c r="C20" s="12" t="n">
        <v>0.1959459459459459</v>
      </c>
    </row>
    <row r="21">
      <c r="A21" s="6" t="inlineStr">
        <is>
          <t>20000以上</t>
        </is>
      </c>
      <c r="B21" s="6" t="n">
        <v>48</v>
      </c>
      <c r="C21" s="11" t="n">
        <v>0.3243243243243243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0" t="inlineStr">
        <is>
          <t>绩效分析</t>
        </is>
      </c>
    </row>
    <row r="3">
      <c r="A3" s="4" t="inlineStr">
        <is>
          <t>一、绩效等级分布</t>
        </is>
      </c>
    </row>
    <row r="4">
      <c r="A4" s="5" t="inlineStr">
        <is>
          <t>绩效等级</t>
        </is>
      </c>
      <c r="B4" s="5" t="inlineStr">
        <is>
          <t>人数</t>
        </is>
      </c>
      <c r="C4" s="5" t="inlineStr">
        <is>
          <t>占比</t>
        </is>
      </c>
    </row>
    <row r="5">
      <c r="A5" s="6" t="inlineStr">
        <is>
          <t>A-卓越</t>
        </is>
      </c>
      <c r="B5" s="6" t="n">
        <v>3</v>
      </c>
      <c r="C5" s="11" t="n">
        <v>0.02027027027027027</v>
      </c>
    </row>
    <row r="6">
      <c r="A6" s="8" t="inlineStr">
        <is>
          <t>B-优秀</t>
        </is>
      </c>
      <c r="B6" s="8" t="n">
        <v>50</v>
      </c>
      <c r="C6" s="12" t="n">
        <v>0.3378378378378378</v>
      </c>
    </row>
    <row r="7">
      <c r="A7" s="6" t="inlineStr">
        <is>
          <t>C-良好</t>
        </is>
      </c>
      <c r="B7" s="6" t="n">
        <v>82</v>
      </c>
      <c r="C7" s="11" t="n">
        <v>0.5540540540540541</v>
      </c>
    </row>
    <row r="8">
      <c r="A8" s="8" t="inlineStr">
        <is>
          <t>D-合格</t>
        </is>
      </c>
      <c r="B8" s="8" t="n">
        <v>12</v>
      </c>
      <c r="C8" s="12" t="n">
        <v>0.08108108108108109</v>
      </c>
    </row>
    <row r="9">
      <c r="A9" s="6" t="inlineStr">
        <is>
          <t>E-待改进</t>
        </is>
      </c>
      <c r="B9" s="6" t="n">
        <v>1</v>
      </c>
      <c r="C9" s="11" t="n">
        <v>0.006756756756756757</v>
      </c>
    </row>
    <row r="12">
      <c r="A12" s="4" t="inlineStr">
        <is>
          <t>二、各部门绩效对比</t>
        </is>
      </c>
    </row>
    <row r="13">
      <c r="A13" s="5" t="inlineStr">
        <is>
          <t>部门</t>
        </is>
      </c>
      <c r="B13" s="5" t="inlineStr">
        <is>
          <t>人数</t>
        </is>
      </c>
      <c r="C13" s="5" t="inlineStr">
        <is>
          <t>平均分</t>
        </is>
      </c>
      <c r="D13" s="5" t="inlineStr">
        <is>
          <t>最高分</t>
        </is>
      </c>
      <c r="E13" s="5" t="inlineStr">
        <is>
          <t>最低分</t>
        </is>
      </c>
    </row>
    <row r="14">
      <c r="A14" s="6" t="inlineStr">
        <is>
          <t>人力资源部</t>
        </is>
      </c>
      <c r="B14" s="6" t="n">
        <v>7</v>
      </c>
      <c r="C14" s="6" t="n">
        <v>80.41</v>
      </c>
      <c r="D14" s="6" t="n">
        <v>89.40000000000001</v>
      </c>
      <c r="E14" s="6" t="n">
        <v>72.8</v>
      </c>
    </row>
    <row r="15">
      <c r="A15" s="8" t="inlineStr">
        <is>
          <t>客服部</t>
        </is>
      </c>
      <c r="B15" s="8" t="n">
        <v>16</v>
      </c>
      <c r="C15" s="8" t="n">
        <v>79.41</v>
      </c>
      <c r="D15" s="8" t="n">
        <v>85.90000000000001</v>
      </c>
      <c r="E15" s="8" t="n">
        <v>63.9</v>
      </c>
    </row>
    <row r="16">
      <c r="A16" s="6" t="inlineStr">
        <is>
          <t>行政部</t>
        </is>
      </c>
      <c r="B16" s="6" t="n">
        <v>19</v>
      </c>
      <c r="C16" s="6" t="n">
        <v>78.88</v>
      </c>
      <c r="D16" s="6" t="n">
        <v>88.2</v>
      </c>
      <c r="E16" s="6" t="n">
        <v>69</v>
      </c>
    </row>
    <row r="17">
      <c r="A17" s="8" t="inlineStr">
        <is>
          <t>技术部</t>
        </is>
      </c>
      <c r="B17" s="8" t="n">
        <v>30</v>
      </c>
      <c r="C17" s="8" t="n">
        <v>78.18000000000001</v>
      </c>
      <c r="D17" s="8" t="n">
        <v>91.90000000000001</v>
      </c>
      <c r="E17" s="8" t="n">
        <v>62.2</v>
      </c>
    </row>
    <row r="18">
      <c r="A18" s="6" t="inlineStr">
        <is>
          <t>市场部</t>
        </is>
      </c>
      <c r="B18" s="6" t="n">
        <v>16</v>
      </c>
      <c r="C18" s="6" t="n">
        <v>77.45999999999999</v>
      </c>
      <c r="D18" s="6" t="n">
        <v>91.09999999999999</v>
      </c>
      <c r="E18" s="6" t="n">
        <v>70.8</v>
      </c>
    </row>
    <row r="19">
      <c r="A19" s="8" t="inlineStr">
        <is>
          <t>销售部</t>
        </is>
      </c>
      <c r="B19" s="8" t="n">
        <v>30</v>
      </c>
      <c r="C19" s="8" t="n">
        <v>77.36</v>
      </c>
      <c r="D19" s="8" t="n">
        <v>92.8</v>
      </c>
      <c r="E19" s="8" t="n">
        <v>57.9</v>
      </c>
    </row>
    <row r="20">
      <c r="A20" s="6" t="inlineStr">
        <is>
          <t>财务部</t>
        </is>
      </c>
      <c r="B20" s="6" t="n">
        <v>14</v>
      </c>
      <c r="C20" s="6" t="n">
        <v>76.66</v>
      </c>
      <c r="D20" s="6" t="n">
        <v>89.8</v>
      </c>
      <c r="E20" s="6" t="n">
        <v>64.09999999999999</v>
      </c>
    </row>
    <row r="21">
      <c r="A21" s="8" t="inlineStr">
        <is>
          <t>产品部</t>
        </is>
      </c>
      <c r="B21" s="8" t="n">
        <v>16</v>
      </c>
      <c r="C21" s="8" t="n">
        <v>75.22</v>
      </c>
      <c r="D21" s="8" t="n">
        <v>89.5</v>
      </c>
      <c r="E21" s="8" t="n">
        <v>61.6</v>
      </c>
    </row>
    <row r="24">
      <c r="A24" s="4" t="inlineStr">
        <is>
          <t>三、绩效等级与薪资关联</t>
        </is>
      </c>
    </row>
    <row r="25">
      <c r="A25" s="5" t="inlineStr">
        <is>
          <t>绩效等级</t>
        </is>
      </c>
      <c r="B25" s="5" t="inlineStr">
        <is>
          <t>人数</t>
        </is>
      </c>
      <c r="C25" s="5" t="inlineStr">
        <is>
          <t>平均薪资</t>
        </is>
      </c>
      <c r="D25" s="5" t="inlineStr">
        <is>
          <t>最低薪资</t>
        </is>
      </c>
      <c r="E25" s="5" t="inlineStr">
        <is>
          <t>最高薪资</t>
        </is>
      </c>
    </row>
    <row r="26">
      <c r="A26" s="6" t="inlineStr">
        <is>
          <t>A-卓越</t>
        </is>
      </c>
      <c r="B26" s="6" t="n">
        <v>3</v>
      </c>
      <c r="C26" s="7" t="n">
        <v>18255</v>
      </c>
      <c r="D26" s="7" t="n">
        <v>11544</v>
      </c>
      <c r="E26" s="7" t="n">
        <v>21624</v>
      </c>
    </row>
    <row r="27">
      <c r="A27" s="8" t="inlineStr">
        <is>
          <t>B-优秀</t>
        </is>
      </c>
      <c r="B27" s="8" t="n">
        <v>50</v>
      </c>
      <c r="C27" s="9" t="n">
        <v>16782</v>
      </c>
      <c r="D27" s="9" t="n">
        <v>6600</v>
      </c>
      <c r="E27" s="9" t="n">
        <v>36343</v>
      </c>
    </row>
    <row r="28">
      <c r="A28" s="6" t="inlineStr">
        <is>
          <t>C-良好</t>
        </is>
      </c>
      <c r="B28" s="6" t="n">
        <v>82</v>
      </c>
      <c r="C28" s="7" t="n">
        <v>16366</v>
      </c>
      <c r="D28" s="7" t="n">
        <v>8312</v>
      </c>
      <c r="E28" s="7" t="n">
        <v>32213</v>
      </c>
    </row>
    <row r="29">
      <c r="A29" s="8" t="inlineStr">
        <is>
          <t>D-合格</t>
        </is>
      </c>
      <c r="B29" s="8" t="n">
        <v>12</v>
      </c>
      <c r="C29" s="9" t="n">
        <v>19709</v>
      </c>
      <c r="D29" s="9" t="n">
        <v>9281</v>
      </c>
      <c r="E29" s="9" t="n">
        <v>33462</v>
      </c>
    </row>
    <row r="30">
      <c r="A30" s="6" t="inlineStr">
        <is>
          <t>E-待改进</t>
        </is>
      </c>
      <c r="B30" s="6" t="n">
        <v>1</v>
      </c>
      <c r="C30" s="7" t="n">
        <v>30996</v>
      </c>
      <c r="D30" s="7" t="n">
        <v>30996</v>
      </c>
      <c r="E30" s="7" t="n">
        <v>30996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0" t="inlineStr">
        <is>
          <t>培训投入产出分析</t>
        </is>
      </c>
    </row>
    <row r="3">
      <c r="A3" s="4" t="inlineStr">
        <is>
          <t>一、培训概览</t>
        </is>
      </c>
    </row>
    <row r="4">
      <c r="A4" s="14" t="inlineStr">
        <is>
          <t>总培训场次</t>
        </is>
      </c>
      <c r="B4" s="15" t="inlineStr">
        <is>
          <t>18</t>
        </is>
      </c>
    </row>
    <row r="5">
      <c r="A5" s="14" t="inlineStr">
        <is>
          <t>总参训人次</t>
        </is>
      </c>
      <c r="B5" s="15" t="inlineStr">
        <is>
          <t>324</t>
        </is>
      </c>
    </row>
    <row r="6">
      <c r="A6" s="14" t="inlineStr">
        <is>
          <t>总培训费用</t>
        </is>
      </c>
      <c r="B6" s="15" t="inlineStr">
        <is>
          <t>¥32,000</t>
        </is>
      </c>
    </row>
    <row r="7">
      <c r="A7" s="14" t="inlineStr">
        <is>
          <t>平均满意度</t>
        </is>
      </c>
      <c r="B7" s="15" t="inlineStr">
        <is>
          <t>4.16/5</t>
        </is>
      </c>
    </row>
    <row r="8">
      <c r="A8" s="14" t="inlineStr">
        <is>
          <t>人均培训费用</t>
        </is>
      </c>
      <c r="B8" s="15" t="inlineStr">
        <is>
          <t>¥216</t>
        </is>
      </c>
    </row>
    <row r="10">
      <c r="A10" s="4" t="inlineStr">
        <is>
          <t>二、培训课程满意度排名</t>
        </is>
      </c>
    </row>
    <row r="11">
      <c r="A11" s="5" t="inlineStr">
        <is>
          <t>排名</t>
        </is>
      </c>
      <c r="B11" s="5" t="inlineStr">
        <is>
          <t>培训名称</t>
        </is>
      </c>
      <c r="C11" s="5" t="inlineStr">
        <is>
          <t>类型</t>
        </is>
      </c>
      <c r="D11" s="5" t="inlineStr">
        <is>
          <t>满意度评分</t>
        </is>
      </c>
      <c r="E11" s="5" t="inlineStr">
        <is>
          <t>参加人数</t>
        </is>
      </c>
      <c r="F11" s="5" t="inlineStr">
        <is>
          <t>费用(元)</t>
        </is>
      </c>
    </row>
    <row r="12">
      <c r="A12" s="6" t="n">
        <v>1</v>
      </c>
      <c r="B12" s="6" t="inlineStr">
        <is>
          <t>Python数据分析实战</t>
        </is>
      </c>
      <c r="C12" s="6" t="inlineStr">
        <is>
          <t>外训</t>
        </is>
      </c>
      <c r="D12" s="6" t="n">
        <v>5</v>
      </c>
      <c r="E12" s="6" t="n">
        <v>15</v>
      </c>
      <c r="F12" s="7" t="n">
        <v>0</v>
      </c>
    </row>
    <row r="13">
      <c r="A13" s="8" t="n">
        <v>2</v>
      </c>
      <c r="B13" s="8" t="inlineStr">
        <is>
          <t>领导力提升工作坊</t>
        </is>
      </c>
      <c r="C13" s="8" t="inlineStr">
        <is>
          <t>外训</t>
        </is>
      </c>
      <c r="D13" s="8" t="n">
        <v>4.9</v>
      </c>
      <c r="E13" s="8" t="n">
        <v>18</v>
      </c>
      <c r="F13" s="9" t="n">
        <v>5000</v>
      </c>
    </row>
    <row r="14">
      <c r="A14" s="6" t="n">
        <v>3</v>
      </c>
      <c r="B14" s="6" t="inlineStr">
        <is>
          <t>财务报表分析入门</t>
        </is>
      </c>
      <c r="C14" s="6" t="inlineStr">
        <is>
          <t>线上</t>
        </is>
      </c>
      <c r="D14" s="6" t="n">
        <v>4.9</v>
      </c>
      <c r="E14" s="6" t="n">
        <v>10</v>
      </c>
      <c r="F14" s="7" t="n">
        <v>0</v>
      </c>
    </row>
    <row r="15">
      <c r="A15" s="8" t="n">
        <v>4</v>
      </c>
      <c r="B15" s="8" t="inlineStr">
        <is>
          <t>销售谈判技巧</t>
        </is>
      </c>
      <c r="C15" s="8" t="inlineStr">
        <is>
          <t>内训</t>
        </is>
      </c>
      <c r="D15" s="8" t="n">
        <v>4.7</v>
      </c>
      <c r="E15" s="8" t="n">
        <v>18</v>
      </c>
      <c r="F15" s="9" t="n">
        <v>0</v>
      </c>
    </row>
    <row r="16">
      <c r="A16" s="6" t="n">
        <v>5</v>
      </c>
      <c r="B16" s="6" t="inlineStr">
        <is>
          <t>信息安全意识培训</t>
        </is>
      </c>
      <c r="C16" s="6" t="inlineStr">
        <is>
          <t>内训</t>
        </is>
      </c>
      <c r="D16" s="6" t="n">
        <v>4.3</v>
      </c>
      <c r="E16" s="6" t="n">
        <v>19</v>
      </c>
      <c r="F16" s="7" t="n">
        <v>0</v>
      </c>
    </row>
    <row r="17">
      <c r="A17" s="8" t="n">
        <v>6</v>
      </c>
      <c r="B17" s="8" t="inlineStr">
        <is>
          <t>项目管理PMP认证</t>
        </is>
      </c>
      <c r="C17" s="8" t="inlineStr">
        <is>
          <t>认证</t>
        </is>
      </c>
      <c r="D17" s="8" t="n">
        <v>4.2</v>
      </c>
      <c r="E17" s="8" t="n">
        <v>21</v>
      </c>
      <c r="F17" s="9" t="n">
        <v>12000</v>
      </c>
    </row>
    <row r="18">
      <c r="A18" s="6" t="n">
        <v>7</v>
      </c>
      <c r="B18" s="6" t="inlineStr">
        <is>
          <t>AI工具在办公中的应用</t>
        </is>
      </c>
      <c r="C18" s="6" t="inlineStr">
        <is>
          <t>外训</t>
        </is>
      </c>
      <c r="D18" s="6" t="n">
        <v>4.2</v>
      </c>
      <c r="E18" s="6" t="n">
        <v>12</v>
      </c>
      <c r="F18" s="7" t="n">
        <v>15000</v>
      </c>
    </row>
    <row r="19">
      <c r="A19" s="8" t="n">
        <v>8</v>
      </c>
      <c r="B19" s="8" t="inlineStr">
        <is>
          <t>Excel高级函数与数据透视</t>
        </is>
      </c>
      <c r="C19" s="8" t="inlineStr">
        <is>
          <t>线上</t>
        </is>
      </c>
      <c r="D19" s="8" t="n">
        <v>4.2</v>
      </c>
      <c r="E19" s="8" t="n">
        <v>29</v>
      </c>
      <c r="F19" s="9" t="n">
        <v>0</v>
      </c>
    </row>
    <row r="20">
      <c r="A20" s="6" t="n">
        <v>9</v>
      </c>
      <c r="B20" s="6" t="inlineStr">
        <is>
          <t>新员工入职培训</t>
        </is>
      </c>
      <c r="C20" s="6" t="inlineStr">
        <is>
          <t>内训</t>
        </is>
      </c>
      <c r="D20" s="6" t="n">
        <v>4.1</v>
      </c>
      <c r="E20" s="6" t="n">
        <v>15</v>
      </c>
      <c r="F20" s="7" t="n">
        <v>0</v>
      </c>
    </row>
    <row r="21">
      <c r="A21" s="8" t="n">
        <v>10</v>
      </c>
      <c r="B21" s="8" t="inlineStr">
        <is>
          <t>团队建设与协作</t>
        </is>
      </c>
      <c r="C21" s="8" t="inlineStr">
        <is>
          <t>内训</t>
        </is>
      </c>
      <c r="D21" s="8" t="n">
        <v>4.1</v>
      </c>
      <c r="E21" s="8" t="n">
        <v>17</v>
      </c>
      <c r="F21" s="9" t="n">
        <v>0</v>
      </c>
    </row>
    <row r="22">
      <c r="A22" s="6" t="n">
        <v>11</v>
      </c>
      <c r="B22" s="6" t="inlineStr">
        <is>
          <t>客户服务技能提升</t>
        </is>
      </c>
      <c r="C22" s="6" t="inlineStr">
        <is>
          <t>内训</t>
        </is>
      </c>
      <c r="D22" s="6" t="n">
        <v>4.1</v>
      </c>
      <c r="E22" s="6" t="n">
        <v>12</v>
      </c>
      <c r="F22" s="7" t="n">
        <v>0</v>
      </c>
    </row>
    <row r="23">
      <c r="A23" s="8" t="n">
        <v>12</v>
      </c>
      <c r="B23" s="8" t="inlineStr">
        <is>
          <t>职场压力与情绪管理</t>
        </is>
      </c>
      <c r="C23" s="8" t="inlineStr">
        <is>
          <t>线上</t>
        </is>
      </c>
      <c r="D23" s="8" t="n">
        <v>4</v>
      </c>
      <c r="E23" s="8" t="n">
        <v>25</v>
      </c>
      <c r="F23" s="9" t="n">
        <v>0</v>
      </c>
    </row>
    <row r="24">
      <c r="A24" s="6" t="n">
        <v>13</v>
      </c>
      <c r="B24" s="6" t="inlineStr">
        <is>
          <t>数据隐私保护GDPR</t>
        </is>
      </c>
      <c r="C24" s="6" t="inlineStr">
        <is>
          <t>线上</t>
        </is>
      </c>
      <c r="D24" s="6" t="n">
        <v>4</v>
      </c>
      <c r="E24" s="6" t="n">
        <v>7</v>
      </c>
      <c r="F24" s="7" t="n">
        <v>0</v>
      </c>
    </row>
    <row r="25">
      <c r="A25" s="8" t="n">
        <v>14</v>
      </c>
      <c r="B25" s="8" t="inlineStr">
        <is>
          <t>知识产权与合规培训</t>
        </is>
      </c>
      <c r="C25" s="8" t="inlineStr">
        <is>
          <t>内训</t>
        </is>
      </c>
      <c r="D25" s="8" t="n">
        <v>3.7</v>
      </c>
      <c r="E25" s="8" t="n">
        <v>14</v>
      </c>
      <c r="F25" s="9" t="n">
        <v>0</v>
      </c>
    </row>
    <row r="26">
      <c r="A26" s="6" t="n">
        <v>15</v>
      </c>
      <c r="B26" s="6" t="inlineStr">
        <is>
          <t>高效沟通技巧</t>
        </is>
      </c>
      <c r="C26" s="6" t="inlineStr">
        <is>
          <t>内训</t>
        </is>
      </c>
      <c r="D26" s="6" t="n">
        <v>3.7</v>
      </c>
      <c r="E26" s="6" t="n">
        <v>18</v>
      </c>
      <c r="F26" s="7" t="n">
        <v>0</v>
      </c>
    </row>
    <row r="27">
      <c r="A27" s="8" t="n">
        <v>16</v>
      </c>
      <c r="B27" s="8" t="inlineStr">
        <is>
          <t>OKR目标管理</t>
        </is>
      </c>
      <c r="C27" s="8" t="inlineStr">
        <is>
          <t>内训</t>
        </is>
      </c>
      <c r="D27" s="8" t="n">
        <v>3.6</v>
      </c>
      <c r="E27" s="8" t="n">
        <v>45</v>
      </c>
      <c r="F27" s="9" t="n">
        <v>0</v>
      </c>
    </row>
    <row r="28">
      <c r="A28" s="6" t="n">
        <v>17</v>
      </c>
      <c r="B28" s="6" t="inlineStr">
        <is>
          <t>敏捷开发Scrum实践</t>
        </is>
      </c>
      <c r="C28" s="6" t="inlineStr">
        <is>
          <t>内训</t>
        </is>
      </c>
      <c r="D28" s="6" t="n">
        <v>3.6</v>
      </c>
      <c r="E28" s="6" t="n">
        <v>24</v>
      </c>
      <c r="F28" s="7" t="n">
        <v>0</v>
      </c>
    </row>
    <row r="29">
      <c r="A29" s="8" t="n">
        <v>18</v>
      </c>
      <c r="B29" s="8" t="inlineStr">
        <is>
          <t>产品需求分析方法论</t>
        </is>
      </c>
      <c r="C29" s="8" t="inlineStr">
        <is>
          <t>内训</t>
        </is>
      </c>
      <c r="D29" s="8" t="n">
        <v>3.5</v>
      </c>
      <c r="E29" s="8" t="n">
        <v>5</v>
      </c>
      <c r="F29" s="9" t="n">
        <v>0</v>
      </c>
    </row>
    <row r="32">
      <c r="A32" s="4" t="inlineStr">
        <is>
          <t>三、部门培训覆盖</t>
        </is>
      </c>
    </row>
    <row r="33">
      <c r="A33" s="5" t="inlineStr">
        <is>
          <t>部门</t>
        </is>
      </c>
      <c r="B33" s="5" t="inlineStr">
        <is>
          <t>培训场次</t>
        </is>
      </c>
      <c r="C33" s="5" t="inlineStr">
        <is>
          <t>参训人次</t>
        </is>
      </c>
      <c r="D33" s="5" t="inlineStr">
        <is>
          <t>费用(元)</t>
        </is>
      </c>
    </row>
    <row r="34">
      <c r="A34" s="6" t="inlineStr">
        <is>
          <t>全公司</t>
        </is>
      </c>
      <c r="B34" s="6" t="n">
        <v>4</v>
      </c>
      <c r="C34" s="6" t="n">
        <v>114</v>
      </c>
      <c r="D34" s="7" t="n">
        <v>0</v>
      </c>
    </row>
    <row r="35">
      <c r="A35" s="8" t="inlineStr">
        <is>
          <t>技术部</t>
        </is>
      </c>
      <c r="B35" s="8" t="n">
        <v>6</v>
      </c>
      <c r="C35" s="8" t="n">
        <v>86</v>
      </c>
      <c r="D35" s="9" t="n">
        <v>27000</v>
      </c>
    </row>
    <row r="36">
      <c r="A36" s="6" t="inlineStr">
        <is>
          <t>产品部</t>
        </is>
      </c>
      <c r="B36" s="6" t="n">
        <v>2</v>
      </c>
      <c r="C36" s="6" t="n">
        <v>33</v>
      </c>
      <c r="D36" s="7" t="n">
        <v>0</v>
      </c>
    </row>
    <row r="37">
      <c r="A37" s="8" t="inlineStr">
        <is>
          <t>人力资源部</t>
        </is>
      </c>
      <c r="B37" s="8" t="n">
        <v>2</v>
      </c>
      <c r="C37" s="8" t="n">
        <v>30</v>
      </c>
      <c r="D37" s="9" t="n">
        <v>5000</v>
      </c>
    </row>
    <row r="38">
      <c r="A38" s="6" t="inlineStr">
        <is>
          <t>财务部</t>
        </is>
      </c>
      <c r="B38" s="6" t="n">
        <v>1</v>
      </c>
      <c r="C38" s="6" t="n">
        <v>24</v>
      </c>
      <c r="D38" s="7" t="n">
        <v>0</v>
      </c>
    </row>
    <row r="39">
      <c r="A39" s="8" t="inlineStr">
        <is>
          <t>客服部</t>
        </is>
      </c>
      <c r="B39" s="8" t="n">
        <v>2</v>
      </c>
      <c r="C39" s="8" t="n">
        <v>20</v>
      </c>
      <c r="D39" s="9" t="n">
        <v>0</v>
      </c>
    </row>
    <row r="40">
      <c r="A40" s="6" t="inlineStr">
        <is>
          <t>销售部</t>
        </is>
      </c>
      <c r="B40" s="6" t="n">
        <v>1</v>
      </c>
      <c r="C40" s="6" t="n">
        <v>17</v>
      </c>
      <c r="D40" s="7" t="n">
        <v>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2026-04-15T21:24:34Z</dcterms:created>
  <dcterms:modified xmlns:dcterms="http://purl.org/dc/terms/" xmlns:xsi="http://www.w3.org/2001/XMLSchema-instance" xsi:type="dcterms:W3CDTF">2026-04-15T21:24:34Z</dcterms:modified>
</cp:coreProperties>
</file>